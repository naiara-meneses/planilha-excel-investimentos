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2d5695b4def008/"/>
    </mc:Choice>
  </mc:AlternateContent>
  <xr:revisionPtr revIDLastSave="0" documentId="8_{6BA42187-A0FA-4459-9EEE-B918B8B39532}" xr6:coauthVersionLast="47" xr6:coauthVersionMax="47" xr10:uidLastSave="{00000000-0000-0000-0000-000000000000}"/>
  <bookViews>
    <workbookView xWindow="-108" yWindow="-108" windowWidth="23256" windowHeight="12456" tabRatio="592" xr2:uid="{289A6D98-A212-4D4F-9D39-03CC3AAAB382}"/>
  </bookViews>
  <sheets>
    <sheet name="Planilha1" sheetId="1" r:id="rId1"/>
    <sheet name="Planilha2" sheetId="2" r:id="rId2"/>
  </sheets>
  <definedNames>
    <definedName name="Aporte">Planilha1!$C$16</definedName>
    <definedName name="patrimonio">Planilha1!$C$19</definedName>
    <definedName name="Qtd_anos">Planilha1!$C$17</definedName>
    <definedName name="Rendimento_carteira">Planilha1!$C$12</definedName>
    <definedName name="salario">Planilha1!$C$11</definedName>
    <definedName name="Sugestao_investimento">Planilha1!$C$13</definedName>
    <definedName name="Taxa_mensal">Planilha1!$C$18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3" i="1"/>
  <c r="H5" i="2"/>
  <c r="A8" i="2"/>
  <c r="A9" i="2"/>
  <c r="A10" i="2"/>
  <c r="A11" i="2"/>
  <c r="A12" i="2"/>
  <c r="A13" i="2"/>
  <c r="A14" i="2"/>
  <c r="A15" i="2"/>
  <c r="A16" i="2"/>
  <c r="A17" i="2"/>
  <c r="A7" i="2"/>
  <c r="A4" i="2"/>
  <c r="A5" i="2"/>
  <c r="A6" i="2"/>
  <c r="A3" i="2"/>
  <c r="C30" i="1"/>
  <c r="C19" i="1"/>
  <c r="C20" i="1" s="1"/>
  <c r="C13" i="1"/>
  <c r="C24" i="1"/>
  <c r="D24" i="1" s="1"/>
  <c r="C25" i="1"/>
  <c r="D25" i="1" s="1"/>
  <c r="C26" i="1"/>
  <c r="D26" i="1" s="1"/>
  <c r="C27" i="1"/>
  <c r="D27" i="1" s="1"/>
  <c r="C23" i="1"/>
  <c r="D23" i="1" s="1"/>
  <c r="D34" i="1" l="1"/>
  <c r="D35" i="1"/>
  <c r="D33" i="1"/>
  <c r="D37" i="1"/>
  <c r="D36" i="1"/>
  <c r="B38" i="1" l="1"/>
</calcChain>
</file>

<file path=xl/sharedStrings.xml><?xml version="1.0" encoding="utf-8"?>
<sst xmlns="http://schemas.openxmlformats.org/spreadsheetml/2006/main" count="63" uniqueCount="34">
  <si>
    <t>Quanto investir por mês?</t>
  </si>
  <si>
    <t>Por quantos anos?</t>
  </si>
  <si>
    <t>Taxa de rendimento mensal?</t>
  </si>
  <si>
    <t>Patrimonio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</si>
  <si>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</si>
  <si>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</si>
  <si>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</si>
  <si>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</si>
  <si>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</si>
  <si>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</si>
  <si>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</si>
  <si>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</si>
  <si>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</si>
  <si>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</si>
  <si>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Carteira</t>
  </si>
  <si>
    <t>Salário</t>
  </si>
  <si>
    <t>Sugestão de investimento</t>
  </si>
  <si>
    <t>Perfil</t>
  </si>
  <si>
    <t>AGRESSIVO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</si>
  <si>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</si>
  <si>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</si>
  <si>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</si>
  <si>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</si>
  <si>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</si>
  <si>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</si>
  <si>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</si>
  <si>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</si>
  <si>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HIBRÍDOS</t>
  </si>
  <si>
    <t>FOF</t>
  </si>
  <si>
    <t>DESENVOLVIMENTO</t>
  </si>
  <si>
    <t>PERFIL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</si>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</sst>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5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Cambria"/>
      <family val="1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1" tint="0.34998626667073579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1" tint="0.34998626667073579"/>
      </left>
      <right style="medium">
        <color theme="0" tint="-0.24994659260841701"/>
      </right>
      <top style="medium">
        <color theme="0" tint="-0.24994659260841701"/>
      </top>
      <bottom style="medium">
        <color theme="1" tint="0.34998626667073579"/>
      </bottom>
      <diagonal/>
    </border>
    <border>
      <left style="medium">
        <color theme="0" tint="-0.24994659260841701"/>
      </left>
      <right style="medium">
        <color theme="1" tint="0.34998626667073579"/>
      </right>
      <top style="medium">
        <color theme="0" tint="-0.24994659260841701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3" tint="0.499984740745262"/>
      </left>
      <right style="thin">
        <color theme="1" tint="0.34998626667073579"/>
      </right>
      <top style="thin">
        <color theme="1"/>
      </top>
      <bottom/>
      <diagonal/>
    </border>
    <border>
      <left style="medium">
        <color theme="1" tint="0.34998626667073579"/>
      </left>
      <right style="medium">
        <color theme="0" tint="-0.24994659260841701"/>
      </right>
      <top style="medium">
        <color theme="1" tint="0.34998626667073579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1" tint="0.34998626667073579"/>
      </right>
      <top style="medium">
        <color theme="1" tint="0.34998626667073579"/>
      </top>
      <bottom style="medium">
        <color theme="0" tint="-0.24994659260841701"/>
      </bottom>
      <diagonal/>
    </border>
    <border>
      <left style="medium">
        <color theme="1" tint="0.34998626667073579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1" tint="0.34998626667073579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1" tint="0.34998626667073579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1"/>
      </bottom>
      <diagonal/>
    </border>
    <border>
      <left style="medium">
        <color theme="0" tint="-0.24994659260841701"/>
      </left>
      <right style="thin">
        <color theme="1" tint="0.34998626667073579"/>
      </right>
      <top style="medium">
        <color theme="0" tint="-0.24994659260841701"/>
      </top>
      <bottom style="thin">
        <color theme="1" tint="0.34998626667073579"/>
      </bottom>
      <diagonal/>
    </border>
    <border>
      <left/>
      <right style="medium">
        <color theme="3" tint="0.499984740745262"/>
      </right>
      <top/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0" tint="-0.24994659260841701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0" tint="-0.24994659260841701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Font="1"/>
    <xf numFmtId="0" fontId="3" fillId="0" borderId="0" xfId="0" applyFont="1"/>
    <xf numFmtId="0" fontId="5" fillId="4" borderId="18" xfId="0" applyFont="1" applyFill="1" applyBorder="1" applyAlignment="1">
      <alignment horizontal="left" indent="2"/>
    </xf>
    <xf numFmtId="175" fontId="0" fillId="0" borderId="19" xfId="1" applyNumberFormat="1" applyFont="1" applyBorder="1" applyAlignment="1">
      <alignment horizontal="left"/>
    </xf>
    <xf numFmtId="0" fontId="5" fillId="4" borderId="6" xfId="0" applyFont="1" applyFill="1" applyBorder="1" applyAlignment="1">
      <alignment horizontal="left" indent="2"/>
    </xf>
    <xf numFmtId="9" fontId="0" fillId="0" borderId="7" xfId="0" applyNumberFormat="1" applyBorder="1" applyAlignment="1">
      <alignment horizontal="left"/>
    </xf>
    <xf numFmtId="0" fontId="5" fillId="4" borderId="8" xfId="0" applyFont="1" applyFill="1" applyBorder="1" applyAlignment="1">
      <alignment horizontal="left" indent="2"/>
    </xf>
    <xf numFmtId="175" fontId="0" fillId="0" borderId="9" xfId="0" applyNumberFormat="1" applyBorder="1" applyAlignment="1">
      <alignment horizontal="left"/>
    </xf>
    <xf numFmtId="8" fontId="0" fillId="0" borderId="21" xfId="0" applyNumberFormat="1" applyBorder="1" applyAlignment="1">
      <alignment horizontal="left"/>
    </xf>
    <xf numFmtId="8" fontId="0" fillId="0" borderId="22" xfId="0" applyNumberFormat="1" applyBorder="1" applyAlignment="1">
      <alignment horizontal="left"/>
    </xf>
    <xf numFmtId="8" fontId="0" fillId="0" borderId="23" xfId="0" applyNumberFormat="1" applyBorder="1" applyAlignment="1">
      <alignment horizontal="left"/>
    </xf>
    <xf numFmtId="8" fontId="0" fillId="0" borderId="24" xfId="0" applyNumberFormat="1" applyBorder="1" applyAlignment="1">
      <alignment horizontal="left"/>
    </xf>
    <xf numFmtId="8" fontId="0" fillId="0" borderId="25" xfId="0" applyNumberFormat="1" applyBorder="1" applyAlignment="1">
      <alignment horizontal="left"/>
    </xf>
    <xf numFmtId="8" fontId="0" fillId="0" borderId="26" xfId="0" applyNumberFormat="1" applyBorder="1" applyAlignment="1">
      <alignment horizontal="left"/>
    </xf>
    <xf numFmtId="175" fontId="0" fillId="0" borderId="7" xfId="0" applyNumberFormat="1" applyFont="1" applyBorder="1" applyAlignment="1">
      <alignment horizontal="left"/>
    </xf>
    <xf numFmtId="0" fontId="0" fillId="0" borderId="7" xfId="0" applyFont="1" applyBorder="1" applyAlignment="1">
      <alignment horizontal="left"/>
    </xf>
    <xf numFmtId="9" fontId="0" fillId="0" borderId="7" xfId="0" applyNumberFormat="1" applyFont="1" applyBorder="1" applyAlignment="1">
      <alignment horizontal="left"/>
    </xf>
    <xf numFmtId="8" fontId="0" fillId="0" borderId="7" xfId="0" applyNumberFormat="1" applyFont="1" applyBorder="1" applyAlignment="1">
      <alignment horizontal="left"/>
    </xf>
    <xf numFmtId="8" fontId="0" fillId="0" borderId="9" xfId="0" applyNumberFormat="1" applyFont="1" applyBorder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indent="2"/>
    </xf>
    <xf numFmtId="0" fontId="5" fillId="4" borderId="8" xfId="0" applyFont="1" applyFill="1" applyBorder="1" applyAlignment="1">
      <alignment horizontal="left" vertical="center" indent="2"/>
    </xf>
    <xf numFmtId="0" fontId="5" fillId="4" borderId="20" xfId="0" applyFont="1" applyFill="1" applyBorder="1" applyAlignment="1">
      <alignment horizontal="left" vertical="center" indent="2"/>
    </xf>
    <xf numFmtId="0" fontId="4" fillId="3" borderId="17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indent="2"/>
    </xf>
    <xf numFmtId="0" fontId="2" fillId="2" borderId="16" xfId="3" applyBorder="1" applyAlignment="1">
      <alignment horizontal="left" vertical="center" indent="2"/>
    </xf>
    <xf numFmtId="0" fontId="2" fillId="2" borderId="13" xfId="3" applyBorder="1"/>
    <xf numFmtId="0" fontId="2" fillId="2" borderId="30" xfId="3" applyBorder="1"/>
    <xf numFmtId="175" fontId="0" fillId="0" borderId="0" xfId="0" applyNumberFormat="1" applyAlignment="1">
      <alignment horizontal="left"/>
    </xf>
    <xf numFmtId="0" fontId="7" fillId="7" borderId="1" xfId="0" applyFont="1" applyFill="1" applyBorder="1" applyAlignment="1">
      <alignment horizontal="left" indent="2"/>
    </xf>
    <xf numFmtId="0" fontId="7" fillId="7" borderId="1" xfId="0" applyFont="1" applyFill="1" applyBorder="1"/>
    <xf numFmtId="0" fontId="0" fillId="0" borderId="1" xfId="0" applyFont="1" applyBorder="1" applyAlignment="1">
      <alignment horizontal="left" indent="2"/>
    </xf>
    <xf numFmtId="9" fontId="0" fillId="0" borderId="1" xfId="0" applyNumberFormat="1" applyFont="1" applyBorder="1" applyAlignment="1">
      <alignment horizontal="left"/>
    </xf>
    <xf numFmtId="175" fontId="0" fillId="0" borderId="1" xfId="0" applyNumberFormat="1" applyFont="1" applyBorder="1"/>
    <xf numFmtId="0" fontId="0" fillId="0" borderId="1" xfId="0" applyBorder="1" applyAlignment="1">
      <alignment horizontal="left" indent="2"/>
    </xf>
    <xf numFmtId="175" fontId="0" fillId="6" borderId="1" xfId="0" applyNumberFormat="1" applyFill="1" applyBorder="1" applyAlignment="1">
      <alignment horizontal="right"/>
    </xf>
    <xf numFmtId="0" fontId="0" fillId="8" borderId="32" xfId="0" applyFill="1" applyBorder="1"/>
    <xf numFmtId="0" fontId="0" fillId="8" borderId="31" xfId="0" applyFill="1" applyBorder="1"/>
    <xf numFmtId="0" fontId="0" fillId="8" borderId="33" xfId="0" applyFill="1" applyBorder="1"/>
    <xf numFmtId="0" fontId="0" fillId="9" borderId="2" xfId="0" applyFill="1" applyBorder="1"/>
    <xf numFmtId="0" fontId="0" fillId="9" borderId="0" xfId="0" applyFill="1" applyBorder="1"/>
    <xf numFmtId="0" fontId="0" fillId="9" borderId="0" xfId="0" applyFont="1" applyFill="1" applyBorder="1" applyAlignment="1">
      <alignment horizontal="left"/>
    </xf>
    <xf numFmtId="9" fontId="0" fillId="9" borderId="3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left"/>
    </xf>
    <xf numFmtId="9" fontId="0" fillId="9" borderId="3" xfId="0" applyNumberFormat="1" applyFill="1" applyBorder="1" applyAlignment="1">
      <alignment horizontal="center"/>
    </xf>
    <xf numFmtId="0" fontId="0" fillId="9" borderId="4" xfId="0" applyFill="1" applyBorder="1"/>
    <xf numFmtId="0" fontId="0" fillId="9" borderId="12" xfId="0" applyFill="1" applyBorder="1"/>
    <xf numFmtId="0" fontId="0" fillId="9" borderId="12" xfId="0" applyFill="1" applyBorder="1" applyAlignment="1">
      <alignment horizontal="left"/>
    </xf>
    <xf numFmtId="9" fontId="0" fillId="9" borderId="5" xfId="0" applyNumberFormat="1" applyFill="1" applyBorder="1" applyAlignment="1">
      <alignment horizontal="center"/>
    </xf>
    <xf numFmtId="0" fontId="0" fillId="9" borderId="10" xfId="0" applyFill="1" applyBorder="1"/>
    <xf numFmtId="0" fontId="0" fillId="9" borderId="14" xfId="0" applyFill="1" applyBorder="1"/>
    <xf numFmtId="0" fontId="0" fillId="9" borderId="14" xfId="0" applyFont="1" applyFill="1" applyBorder="1" applyAlignment="1">
      <alignment horizontal="left"/>
    </xf>
    <xf numFmtId="9" fontId="0" fillId="9" borderId="11" xfId="0" applyNumberFormat="1" applyFill="1" applyBorder="1" applyAlignment="1">
      <alignment horizontal="center"/>
    </xf>
    <xf numFmtId="9" fontId="0" fillId="9" borderId="11" xfId="2" applyFont="1" applyFill="1" applyBorder="1" applyAlignment="1">
      <alignment horizontal="center"/>
    </xf>
    <xf numFmtId="9" fontId="0" fillId="9" borderId="3" xfId="2" applyFont="1" applyFill="1" applyBorder="1" applyAlignment="1">
      <alignment horizontal="center"/>
    </xf>
    <xf numFmtId="9" fontId="0" fillId="9" borderId="5" xfId="2" applyFont="1" applyFill="1" applyBorder="1" applyAlignment="1">
      <alignment horizontal="center"/>
    </xf>
    <xf numFmtId="0" fontId="0" fillId="10" borderId="0" xfId="0" applyFill="1"/>
    <xf numFmtId="9" fontId="0" fillId="10" borderId="0" xfId="2" applyFont="1" applyFill="1"/>
  </cellXfs>
  <cellStyles count="4">
    <cellStyle name="Bom" xfId="3" builtinId="26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Planilha1!$B$33:$B$37</c:f>
              <c:strCache>
                <c:ptCount val="5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</c:v>
                </c:pt>
                <c:pt idx="4">
                  <c:v>DESENVOLVIMENTO</c:v>
                </c:pt>
              </c:strCache>
            </c:strRef>
          </c:cat>
          <c:val>
            <c:numRef>
              <c:f>Planilha1!$C$33:$C$37</c:f>
              <c:numCache>
                <c:formatCode>0%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1-420D-B0DB-A97B536B2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579120</xdr:colOff>
      <xdr:row>0</xdr:row>
      <xdr:rowOff>7620</xdr:rowOff>
    </xdr:from>
    <xdr:to>
      <xdr:col>3</xdr:col>
      <xdr:colOff>1226820</xdr:colOff>
      <xdr:row>6</xdr:row>
      <xdr:rowOff>144780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B62162C-27E5-1BD3-7F29-19A7B1B3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" y="7620"/>
          <a:ext cx="6416040" cy="1234440"/>
        </a:xfrm>
        <a:prstGeom prst="rect">
          <a:avLst/>
        </a:prstGeom>
      </xdr:spPr>
    </xdr:pic>
    <xdr:clientData/>
  </xdr:twoCellAnchor>
  <xdr:twoCellAnchor>
    <xdr:from>
      <xdr:col>1</xdr:col>
      <xdr:colOff>1074420</xdr:colOff>
      <xdr:row>40</xdr:row>
      <xdr:rowOff>95250</xdr:rowOff>
    </xdr:from>
    <xdr:to>
      <xdr:col>3</xdr:col>
      <xdr:colOff>487680</xdr:colOff>
      <xdr:row>55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B41E256-7B2F-5904-3343-55CD439B0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6E9F-89F6-4EEC-9A1A-48603C031F2E}">
  <dimension ref="A9:XFD66"/>
  <sheetViews>
    <sheetView showGridLines="0" tabSelected="1" workbookViewId="0">
      <selection activeCell="C29" sqref="C29"/>
    </sheetView>
  </sheetViews>
  <sheetFormatPr defaultColWidth="0" defaultRowHeight="14.4" x14ac:dyDescent="0.3"/>
  <cols>
    <col min="1" max="1" width="8.88671875" customWidth="1"/>
    <col min="2" max="2" width="43.21875" customWidth="1"/>
    <col min="3" max="3" width="32" customWidth="1"/>
    <col min="4" max="4" width="21.44140625" customWidth="1"/>
    <col min="5" max="5" width="15.5546875" hidden="1" customWidth="1"/>
    <col min="6" max="6" width="0.77734375" hidden="1" customWidth="1"/>
    <col min="7" max="11" width="8.88671875" hidden="1" customWidth="1"/>
    <col min="12" max="16378" width="8.88671875" hidden="1"/>
    <col min="16379" max="16383" width="8.88671875" hidden="1" customWidth="1"/>
    <col min="16384" max="16384" width="8" customWidth="1"/>
  </cols>
  <sheetData>
    <row r="9" spans="2:4" ht="15" thickBot="1" x14ac:dyDescent="0.35"/>
    <row r="10" spans="2:4" ht="24" thickBot="1" x14ac:dyDescent="0.35">
      <c r="B10" s="28" t="s">
        <v>13</v>
      </c>
      <c r="C10" s="29"/>
    </row>
    <row r="11" spans="2:4" ht="15" thickBot="1" x14ac:dyDescent="0.35">
      <c r="B11" s="3" t="s">
        <v>15</v>
      </c>
      <c r="C11" s="4">
        <v>1800</v>
      </c>
    </row>
    <row r="12" spans="2:4" ht="15" thickBot="1" x14ac:dyDescent="0.35">
      <c r="B12" s="5" t="s">
        <v>14</v>
      </c>
      <c r="C12" s="6">
        <v>0.01</v>
      </c>
    </row>
    <row r="13" spans="2:4" ht="15" thickBot="1" x14ac:dyDescent="0.35">
      <c r="B13" s="7" t="s">
        <v>16</v>
      </c>
      <c r="C13" s="8">
        <f>C11*30%</f>
        <v>540</v>
      </c>
    </row>
    <row r="14" spans="2:4" ht="15" thickBot="1" x14ac:dyDescent="0.35"/>
    <row r="15" spans="2:4" ht="22.8" customHeight="1" thickBot="1" x14ac:dyDescent="0.35">
      <c r="B15" s="22" t="s">
        <v>5</v>
      </c>
      <c r="C15" s="23"/>
      <c r="D15" s="1"/>
    </row>
    <row r="16" spans="2:4" ht="15" thickBot="1" x14ac:dyDescent="0.35">
      <c r="B16" s="24" t="s">
        <v>0</v>
      </c>
      <c r="C16" s="15">
        <v>300</v>
      </c>
    </row>
    <row r="17" spans="1:5" ht="15" thickBot="1" x14ac:dyDescent="0.35">
      <c r="B17" s="24" t="s">
        <v>1</v>
      </c>
      <c r="C17" s="16">
        <v>1</v>
      </c>
      <c r="E17" s="1"/>
    </row>
    <row r="18" spans="1:5" ht="15" thickBot="1" x14ac:dyDescent="0.35">
      <c r="B18" s="24" t="s">
        <v>2</v>
      </c>
      <c r="C18" s="17">
        <v>0.01</v>
      </c>
    </row>
    <row r="19" spans="1:5" ht="15" thickBot="1" x14ac:dyDescent="0.35">
      <c r="B19" s="24" t="s">
        <v>3</v>
      </c>
      <c r="C19" s="18">
        <f>FV(Taxa_mensal,Qtd_anos*12,Aporte*-1)</f>
        <v>3804.7509039590927</v>
      </c>
    </row>
    <row r="20" spans="1:5" ht="15" thickBot="1" x14ac:dyDescent="0.35">
      <c r="B20" s="25" t="s">
        <v>4</v>
      </c>
      <c r="C20" s="19">
        <f>C19*$C$12</f>
        <v>38.047509039590928</v>
      </c>
    </row>
    <row r="22" spans="1:5" ht="31.8" customHeight="1" x14ac:dyDescent="0.3">
      <c r="A22" s="2"/>
      <c r="B22" s="20" t="s">
        <v>11</v>
      </c>
      <c r="C22" s="21"/>
      <c r="D22" s="27" t="s">
        <v>12</v>
      </c>
    </row>
    <row r="23" spans="1:5" ht="15" thickBot="1" x14ac:dyDescent="0.35">
      <c r="A23" s="2">
        <v>2</v>
      </c>
      <c r="B23" s="26" t="s">
        <v>6</v>
      </c>
      <c r="C23" s="9">
        <f>FV($C$18,$A23*12,$C$16*-1)</f>
        <v>8092.0394559574497</v>
      </c>
      <c r="D23" s="10">
        <f>C23*Rendimento_carteira</f>
        <v>80.920394559574504</v>
      </c>
    </row>
    <row r="24" spans="1:5" ht="15" thickBot="1" x14ac:dyDescent="0.35">
      <c r="A24" s="2">
        <v>5</v>
      </c>
      <c r="B24" s="24" t="s">
        <v>7</v>
      </c>
      <c r="C24" s="11">
        <f t="shared" ref="C24:C27" si="0">FV($C$18,$A24*12,$C$16*-1)</f>
        <v>24500.900956922738</v>
      </c>
      <c r="D24" s="12">
        <f>C24*Rendimento_carteira</f>
        <v>245.00900956922737</v>
      </c>
    </row>
    <row r="25" spans="1:5" ht="15" thickBot="1" x14ac:dyDescent="0.35">
      <c r="A25" s="2">
        <v>10</v>
      </c>
      <c r="B25" s="24" t="s">
        <v>8</v>
      </c>
      <c r="C25" s="11">
        <f t="shared" si="0"/>
        <v>69011.6068372101</v>
      </c>
      <c r="D25" s="12">
        <f>C25*Rendimento_carteira</f>
        <v>690.11606837210104</v>
      </c>
    </row>
    <row r="26" spans="1:5" ht="15" thickBot="1" x14ac:dyDescent="0.35">
      <c r="A26" s="2">
        <v>20</v>
      </c>
      <c r="B26" s="24" t="s">
        <v>9</v>
      </c>
      <c r="C26" s="11">
        <f t="shared" si="0"/>
        <v>296776.60961620888</v>
      </c>
      <c r="D26" s="12">
        <f>C26*Rendimento_carteira</f>
        <v>2967.7660961620891</v>
      </c>
    </row>
    <row r="27" spans="1:5" ht="15" thickBot="1" x14ac:dyDescent="0.35">
      <c r="A27" s="2">
        <v>30</v>
      </c>
      <c r="B27" s="25" t="s">
        <v>10</v>
      </c>
      <c r="C27" s="13">
        <f t="shared" si="0"/>
        <v>1048489.2398305519</v>
      </c>
      <c r="D27" s="14">
        <f>C27*Rendimento_carteira</f>
        <v>10484.892398305519</v>
      </c>
    </row>
    <row r="28" spans="1:5" ht="15" thickBot="1" x14ac:dyDescent="0.35"/>
    <row r="29" spans="1:5" ht="15" thickBot="1" x14ac:dyDescent="0.35">
      <c r="B29" s="31" t="s">
        <v>17</v>
      </c>
      <c r="C29" s="32" t="s">
        <v>18</v>
      </c>
      <c r="D29" s="33"/>
    </row>
    <row r="30" spans="1:5" x14ac:dyDescent="0.3">
      <c r="B30" s="30" t="s">
        <v>21</v>
      </c>
      <c r="C30" s="34">
        <f>Aporte</f>
        <v>300</v>
      </c>
    </row>
    <row r="32" spans="1:5" ht="15.6" x14ac:dyDescent="0.3">
      <c r="B32" s="35" t="s">
        <v>22</v>
      </c>
      <c r="C32" s="36" t="s">
        <v>23</v>
      </c>
      <c r="D32" s="36" t="s">
        <v>24</v>
      </c>
    </row>
    <row r="33" spans="2:4" x14ac:dyDescent="0.3">
      <c r="B33" s="37" t="s">
        <v>25</v>
      </c>
      <c r="C33" s="38">
        <f>VLOOKUP($C$29&amp;"-"&amp;B33,Planilha2!$A:$D,4,FALSE)</f>
        <v>0.5</v>
      </c>
      <c r="D33" s="39">
        <f>C33*$C$30</f>
        <v>150</v>
      </c>
    </row>
    <row r="34" spans="2:4" x14ac:dyDescent="0.3">
      <c r="B34" s="40" t="s">
        <v>26</v>
      </c>
      <c r="C34" s="38">
        <f>VLOOKUP($C$29&amp;"-"&amp;B34,Planilha2!$A:$D,4,FALSE)</f>
        <v>0.1</v>
      </c>
      <c r="D34" s="39">
        <f t="shared" ref="D34:D37" si="1">C34*$C$30</f>
        <v>30</v>
      </c>
    </row>
    <row r="35" spans="2:4" x14ac:dyDescent="0.3">
      <c r="B35" s="40" t="s">
        <v>27</v>
      </c>
      <c r="C35" s="38">
        <f>VLOOKUP($C$29&amp;"-"&amp;B35,Planilha2!$A:$D,4,FALSE)</f>
        <v>0.1</v>
      </c>
      <c r="D35" s="39">
        <f t="shared" si="1"/>
        <v>30</v>
      </c>
    </row>
    <row r="36" spans="2:4" x14ac:dyDescent="0.3">
      <c r="B36" s="40" t="s">
        <v>28</v>
      </c>
      <c r="C36" s="38">
        <f>VLOOKUP($C$29&amp;"-"&amp;B36,Planilha2!$A:$D,4,FALSE)</f>
        <v>0.1</v>
      </c>
      <c r="D36" s="39">
        <f t="shared" si="1"/>
        <v>30</v>
      </c>
    </row>
    <row r="37" spans="2:4" x14ac:dyDescent="0.3">
      <c r="B37" s="40" t="s">
        <v>29</v>
      </c>
      <c r="C37" s="38">
        <f>VLOOKUP($C$29&amp;"-"&amp;B37,Planilha2!$A:$D,4,FALSE)</f>
        <v>0.2</v>
      </c>
      <c r="D37" s="39">
        <f t="shared" si="1"/>
        <v>60</v>
      </c>
    </row>
    <row r="38" spans="2:4" x14ac:dyDescent="0.3">
      <c r="B38" s="41">
        <f>SUM(D33:D37)</f>
        <v>300</v>
      </c>
      <c r="C38" s="41"/>
      <c r="D38" s="41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</sheetData>
  <mergeCells count="4">
    <mergeCell ref="B10:C10"/>
    <mergeCell ref="B22:C22"/>
    <mergeCell ref="B15:C15"/>
    <mergeCell ref="B38:D38"/>
  </mergeCells>
  <dataValidations count="1">
    <dataValidation type="list" allowBlank="1" showInputMessage="1" showErrorMessage="1" sqref="C29" xr:uid="{E475B19D-656C-42D7-A51C-3A119E1527F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094A-1C54-43D7-A2BD-D73D9B1E9073}">
  <dimension ref="A1:H17"/>
  <sheetViews>
    <sheetView workbookViewId="0">
      <selection activeCell="G14" sqref="G14"/>
    </sheetView>
  </sheetViews>
  <sheetFormatPr defaultRowHeight="14.4" x14ac:dyDescent="0.3"/>
  <cols>
    <col min="1" max="1" width="31.5546875" bestFit="1" customWidth="1"/>
    <col min="2" max="2" width="14" bestFit="1" customWidth="1"/>
    <col min="3" max="3" width="19.6640625" bestFit="1" customWidth="1"/>
    <col min="4" max="4" width="9.109375" bestFit="1" customWidth="1"/>
    <col min="7" max="7" width="18.6640625" customWidth="1"/>
  </cols>
  <sheetData>
    <row r="1" spans="1:8" ht="15" thickBot="1" x14ac:dyDescent="0.35"/>
    <row r="2" spans="1:8" x14ac:dyDescent="0.3">
      <c r="A2" s="43" t="s">
        <v>32</v>
      </c>
      <c r="B2" s="42" t="s">
        <v>30</v>
      </c>
      <c r="C2" s="42" t="s">
        <v>22</v>
      </c>
      <c r="D2" s="44" t="s">
        <v>31</v>
      </c>
    </row>
    <row r="3" spans="1:8" x14ac:dyDescent="0.3">
      <c r="A3" s="45" t="str">
        <f>B3&amp;"-"&amp;C3</f>
        <v>MODERADO-PAPEL</v>
      </c>
      <c r="B3" s="46" t="s">
        <v>19</v>
      </c>
      <c r="C3" s="47" t="s">
        <v>25</v>
      </c>
      <c r="D3" s="48">
        <v>0.3</v>
      </c>
    </row>
    <row r="4" spans="1:8" x14ac:dyDescent="0.3">
      <c r="A4" s="45" t="str">
        <f t="shared" ref="A4:A6" si="0">B4&amp;"-"&amp;C4</f>
        <v>MODERADO-TIJOLO</v>
      </c>
      <c r="B4" s="46" t="s">
        <v>19</v>
      </c>
      <c r="C4" s="49" t="s">
        <v>26</v>
      </c>
      <c r="D4" s="50">
        <v>0.5</v>
      </c>
    </row>
    <row r="5" spans="1:8" x14ac:dyDescent="0.3">
      <c r="A5" s="45" t="str">
        <f t="shared" si="0"/>
        <v>MODERADO-HIBRÍDOS</v>
      </c>
      <c r="B5" s="46" t="s">
        <v>19</v>
      </c>
      <c r="C5" s="49" t="s">
        <v>27</v>
      </c>
      <c r="D5" s="50">
        <v>0.1</v>
      </c>
      <c r="G5" s="62" t="s">
        <v>33</v>
      </c>
      <c r="H5" s="63">
        <f>VLOOKUP(G5,A2:D17,4,FALSE)</f>
        <v>0.5</v>
      </c>
    </row>
    <row r="6" spans="1:8" x14ac:dyDescent="0.3">
      <c r="A6" s="45" t="str">
        <f t="shared" si="0"/>
        <v>MODERADO-FOF</v>
      </c>
      <c r="B6" s="46" t="s">
        <v>19</v>
      </c>
      <c r="C6" s="49" t="s">
        <v>28</v>
      </c>
      <c r="D6" s="50">
        <v>0.1</v>
      </c>
    </row>
    <row r="7" spans="1:8" ht="15" thickBot="1" x14ac:dyDescent="0.35">
      <c r="A7" s="51" t="str">
        <f>B7&amp;"-"&amp;C7</f>
        <v>MODERADO-DESENVOLVIMENTO</v>
      </c>
      <c r="B7" s="52" t="s">
        <v>19</v>
      </c>
      <c r="C7" s="53" t="s">
        <v>29</v>
      </c>
      <c r="D7" s="54">
        <v>0</v>
      </c>
    </row>
    <row r="8" spans="1:8" x14ac:dyDescent="0.3">
      <c r="A8" s="55" t="str">
        <f t="shared" ref="A8:A17" si="1">B8&amp;"-"&amp;C8</f>
        <v>CONSERVADOR-PAPEL</v>
      </c>
      <c r="B8" s="56" t="s">
        <v>20</v>
      </c>
      <c r="C8" s="57" t="s">
        <v>25</v>
      </c>
      <c r="D8" s="58">
        <v>0.32</v>
      </c>
    </row>
    <row r="9" spans="1:8" x14ac:dyDescent="0.3">
      <c r="A9" s="45" t="str">
        <f t="shared" si="1"/>
        <v>CONSERVADOR-TIJOLO</v>
      </c>
      <c r="B9" s="46" t="s">
        <v>20</v>
      </c>
      <c r="C9" s="49" t="s">
        <v>26</v>
      </c>
      <c r="D9" s="50">
        <v>0.4</v>
      </c>
    </row>
    <row r="10" spans="1:8" x14ac:dyDescent="0.3">
      <c r="A10" s="45" t="str">
        <f t="shared" si="1"/>
        <v>CONSERVADOR-HIBRÍDOS</v>
      </c>
      <c r="B10" s="46" t="s">
        <v>20</v>
      </c>
      <c r="C10" s="49" t="s">
        <v>27</v>
      </c>
      <c r="D10" s="50">
        <v>0.08</v>
      </c>
    </row>
    <row r="11" spans="1:8" x14ac:dyDescent="0.3">
      <c r="A11" s="45" t="str">
        <f t="shared" si="1"/>
        <v>CONSERVADOR-FOF</v>
      </c>
      <c r="B11" s="46" t="s">
        <v>20</v>
      </c>
      <c r="C11" s="49" t="s">
        <v>28</v>
      </c>
      <c r="D11" s="50">
        <v>0.1</v>
      </c>
    </row>
    <row r="12" spans="1:8" ht="15" thickBot="1" x14ac:dyDescent="0.35">
      <c r="A12" s="51" t="str">
        <f t="shared" si="1"/>
        <v>CONSERVADOR-DESENVOLVIMENTO</v>
      </c>
      <c r="B12" s="52" t="s">
        <v>20</v>
      </c>
      <c r="C12" s="53" t="s">
        <v>29</v>
      </c>
      <c r="D12" s="54">
        <v>0.1</v>
      </c>
    </row>
    <row r="13" spans="1:8" x14ac:dyDescent="0.3">
      <c r="A13" s="55" t="str">
        <f t="shared" si="1"/>
        <v>AGRESSIVO-PAPEL</v>
      </c>
      <c r="B13" s="56" t="s">
        <v>18</v>
      </c>
      <c r="C13" s="57" t="s">
        <v>25</v>
      </c>
      <c r="D13" s="59">
        <v>0.5</v>
      </c>
    </row>
    <row r="14" spans="1:8" x14ac:dyDescent="0.3">
      <c r="A14" s="45" t="str">
        <f t="shared" si="1"/>
        <v>AGRESSIVO-TIJOLO</v>
      </c>
      <c r="B14" s="46" t="s">
        <v>18</v>
      </c>
      <c r="C14" s="49" t="s">
        <v>26</v>
      </c>
      <c r="D14" s="60">
        <v>0.1</v>
      </c>
    </row>
    <row r="15" spans="1:8" x14ac:dyDescent="0.3">
      <c r="A15" s="45" t="str">
        <f t="shared" si="1"/>
        <v>AGRESSIVO-HIBRÍDOS</v>
      </c>
      <c r="B15" s="46" t="s">
        <v>18</v>
      </c>
      <c r="C15" s="49" t="s">
        <v>27</v>
      </c>
      <c r="D15" s="60">
        <v>0.1</v>
      </c>
    </row>
    <row r="16" spans="1:8" x14ac:dyDescent="0.3">
      <c r="A16" s="45" t="str">
        <f t="shared" si="1"/>
        <v>AGRESSIVO-FOF</v>
      </c>
      <c r="B16" s="46" t="s">
        <v>18</v>
      </c>
      <c r="C16" s="49" t="s">
        <v>28</v>
      </c>
      <c r="D16" s="60">
        <v>0.1</v>
      </c>
    </row>
    <row r="17" spans="1:4" ht="15" thickBot="1" x14ac:dyDescent="0.35">
      <c r="A17" s="51" t="str">
        <f t="shared" si="1"/>
        <v>AGRESSIVO-DESENVOLVIMENTO</v>
      </c>
      <c r="B17" s="52" t="s">
        <v>18</v>
      </c>
      <c r="C17" s="53" t="s">
        <v>29</v>
      </c>
      <c r="D17" s="61">
        <v>0.2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Naiara Meneses</dc:creator>
  <cp:lastModifiedBy>Naiara Meneses</cp:lastModifiedBy>
  <dcterms:created xsi:type="dcterms:W3CDTF">2025-10-15T22:24:56Z</dcterms:created>
  <dcterms:modified xsi:type="dcterms:W3CDTF">2025-10-18T20:07:14Z</dcterms:modified>
</cp:coreProperties>
</file>